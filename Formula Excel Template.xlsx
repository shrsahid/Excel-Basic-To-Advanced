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vious\programming\DA\Excel\"/>
    </mc:Choice>
  </mc:AlternateContent>
  <xr:revisionPtr revIDLastSave="0" documentId="13_ncr:1_{9777E784-F66F-4121-A13F-71025020EF2A}" xr6:coauthVersionLast="47" xr6:coauthVersionMax="47" xr10:uidLastSave="{00000000-0000-0000-0000-000000000000}"/>
  <bookViews>
    <workbookView xWindow="28680" yWindow="-120" windowWidth="29040" windowHeight="15720" firstSheet="1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2" i="7" a="1"/>
  <c r="K2" i="7" s="1"/>
  <c r="J2" i="7" a="1"/>
  <c r="J2" i="7" s="1"/>
  <c r="L2" i="7" a="1"/>
  <c r="L2" i="7" s="1"/>
  <c r="K2" i="1" a="1"/>
  <c r="K2" i="1" s="1"/>
  <c r="J2" i="1" a="1"/>
  <c r="J2" i="1" s="1"/>
  <c r="J2" i="6" a="1"/>
  <c r="J2" i="6" s="1"/>
  <c r="L2" i="3" a="1"/>
  <c r="L2" i="3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4" i="9"/>
  <c r="J4" i="9"/>
  <c r="K2" i="9"/>
  <c r="J3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<sst xmlns="http://schemas.openxmlformats.org/spreadsheetml/2006/main" count="583" uniqueCount="88">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</sst>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J9" sqref="J9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10" max="10" width="26.906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MAX(I2:I10)</f>
        <v>42986</v>
      </c>
      <c r="K2" s="1">
        <f>MIN(H2:H10)</f>
        <v>35040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1">
        <f>MAX(H2:H10)</f>
        <v>37933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>MAX(G2:G10)</f>
        <v>65000</v>
      </c>
      <c r="K4">
        <f>MIN(G2:G10)</f>
        <v>36000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I19" sqref="I19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10" max="10" width="27.36328125" customWidth="1"/>
    <col min="11" max="11" width="25.906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 &gt;30,"Old","Young")</f>
        <v>Young</v>
      </c>
      <c r="K2" t="str" cm="1">
        <f t="array" ref="K2:K10">_xlfn.IFS(F2:F10 ="Salesman","Sales",F2:F10="HR","Immidiate Fire",F2:F10="Regional Manager","Give Bonus")</f>
        <v>Sales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Immidiate Fire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Bonus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I15" sqref="I15"/>
    </sheetView>
  </sheetViews>
  <sheetFormatPr defaultColWidth="10.90625" defaultRowHeight="14.5" x14ac:dyDescent="0.35"/>
  <cols>
    <col min="1" max="1" width="10.81640625" bestFit="1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M21" sqref="M21"/>
    </sheetView>
  </sheetViews>
  <sheetFormatPr defaultColWidth="14.54296875" defaultRowHeight="14.5" x14ac:dyDescent="0.35"/>
  <cols>
    <col min="4" max="4" width="8" customWidth="1"/>
    <col min="10" max="10" width="32.36328125" bestFit="1" customWidth="1"/>
  </cols>
  <sheetData>
    <row r="1" spans="1:13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LEFT(B2:B10,2)</f>
        <v>Ji</v>
      </c>
      <c r="L2" t="str" cm="1">
        <f t="array" ref="L2:L10">RIGHT(C2:C10,3)</f>
        <v>ert</v>
      </c>
      <c r="M2" t="str" cm="1">
        <f t="array" ref="M2:M10">RIGHT(H2:H10,4)</f>
        <v>2001</v>
      </c>
    </row>
    <row r="3" spans="1:13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</v>
      </c>
      <c r="L3" t="str">
        <v>ley</v>
      </c>
      <c r="M3" t="str">
        <v>1999</v>
      </c>
    </row>
    <row r="4" spans="1:13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</v>
      </c>
      <c r="L4" t="str">
        <v>ute</v>
      </c>
      <c r="M4" t="str">
        <v>2000</v>
      </c>
    </row>
    <row r="5" spans="1:13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</v>
      </c>
      <c r="L5" t="str">
        <v>tin</v>
      </c>
      <c r="M5" t="str">
        <v>2000</v>
      </c>
    </row>
    <row r="6" spans="1:13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</v>
      </c>
      <c r="L6" t="str">
        <v>son</v>
      </c>
      <c r="M6" t="str">
        <v>2001</v>
      </c>
    </row>
    <row r="7" spans="1:13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</v>
      </c>
      <c r="L7" t="str">
        <v>ott</v>
      </c>
      <c r="M7" t="str">
        <v>2001</v>
      </c>
    </row>
    <row r="8" spans="1:13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</v>
      </c>
      <c r="L8" t="str">
        <v>mer</v>
      </c>
      <c r="M8" t="str">
        <v>2003</v>
      </c>
    </row>
    <row r="9" spans="1:13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</v>
      </c>
      <c r="L9" t="str">
        <v>son</v>
      </c>
      <c r="M9" t="str">
        <v>2002</v>
      </c>
    </row>
    <row r="10" spans="1:13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</v>
      </c>
      <c r="L10" t="str">
        <v>one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L13"/>
  <sheetViews>
    <sheetView workbookViewId="0">
      <selection activeCell="K21" sqref="K21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2"/>
      <c r="L2" t="str" cm="1">
        <f t="array" ref="L2:L10">RIGHT(_xlfn.ANCHORARRAY(J2),4)</f>
        <v>2001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  <c r="L3" t="str">
        <v>1999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  <c r="L4" t="str">
        <v>2000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  <c r="L5" t="str">
        <v>2000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  <c r="L6" t="str">
        <v>2001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  <c r="L7" t="str">
        <v>1995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  <c r="L8" t="str">
        <v>2003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  <c r="L9" t="str">
        <v>2002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  <c r="L10" t="str">
        <v>2003</v>
      </c>
    </row>
    <row r="12" spans="1:12" x14ac:dyDescent="0.35">
      <c r="H12" s="1"/>
    </row>
    <row r="13" spans="1:12" x14ac:dyDescent="0.3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K3" sqref="K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3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3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3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3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3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3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3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3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E25" sqref="E25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10" max="10" width="17.1796875" customWidth="1"/>
    <col min="11" max="11" width="27.5429687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SUBSTITUTE(H2:H10,"/","-")</f>
        <v>11-2-2001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v>1-5-2000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5-6-2001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2" spans="1:12" x14ac:dyDescent="0.35">
      <c r="H12" s="2"/>
      <c r="I12" s="2"/>
    </row>
    <row r="13" spans="1:12" x14ac:dyDescent="0.35">
      <c r="H13" s="2"/>
      <c r="I13" s="2"/>
    </row>
    <row r="14" spans="1:12" x14ac:dyDescent="0.35">
      <c r="H14" s="2"/>
      <c r="I14" s="2"/>
    </row>
    <row r="15" spans="1:12" x14ac:dyDescent="0.35">
      <c r="H15" s="2"/>
      <c r="I15" s="2"/>
    </row>
    <row r="16" spans="1:12" x14ac:dyDescent="0.35">
      <c r="H16" s="2"/>
      <c r="I16" s="2"/>
    </row>
    <row r="17" spans="8:9" x14ac:dyDescent="0.35">
      <c r="H17" s="2"/>
      <c r="I17" s="2"/>
    </row>
    <row r="18" spans="8:9" x14ac:dyDescent="0.35">
      <c r="H18" s="2"/>
      <c r="I18" s="2"/>
    </row>
    <row r="19" spans="8:9" x14ac:dyDescent="0.35">
      <c r="H19" s="2"/>
      <c r="I19" s="2"/>
    </row>
    <row r="20" spans="8:9" x14ac:dyDescent="0.3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3" sqref="L3"/>
    </sheetView>
  </sheetViews>
  <sheetFormatPr defaultColWidth="13" defaultRowHeight="14.5" x14ac:dyDescent="0.35"/>
  <cols>
    <col min="10" max="10" width="22" customWidth="1"/>
    <col min="11" max="11" width="20.54296875" customWidth="1"/>
    <col min="12" max="12" width="20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K9" sqref="K9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COUNTIFS(G2:G10,"&gt;43000",E2:E10,"Male")</f>
        <v>5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zoomScale="115" zoomScaleNormal="115" workbookViewId="0">
      <selection activeCell="J16" sqref="J16"/>
    </sheetView>
  </sheetViews>
  <sheetFormatPr defaultRowHeight="14.5" x14ac:dyDescent="0.35"/>
  <cols>
    <col min="2" max="2" width="10.453125" customWidth="1"/>
    <col min="3" max="5" width="10.6328125" customWidth="1"/>
    <col min="6" max="6" width="16.54296875" customWidth="1"/>
    <col min="8" max="8" width="14.1796875" customWidth="1"/>
    <col min="9" max="9" width="14.81640625" customWidth="1"/>
    <col min="10" max="10" width="22" bestFit="1" customWidth="1"/>
    <col min="11" max="11" width="25.816406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CONCATENATE(B2:B10," ",C2:C10)</f>
        <v>Jim Halpert</v>
      </c>
      <c r="K2" t="str" cm="1">
        <f t="array" ref="K2:K10">CONCATENATE(B2:B10,"",C2:C10,"@gmail.com")</f>
        <v>JimHalpert@gmail.com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Pam Beasley</v>
      </c>
      <c r="K3" t="str">
        <v>PamBeasley@gmail.com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Dwight Schrute</v>
      </c>
      <c r="K4" t="str">
        <v>DwightSchrute@gmail.com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Angela Martin</v>
      </c>
      <c r="K5" t="str">
        <v>AngelaMartin@gmail.com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Toby Flenderson</v>
      </c>
      <c r="K6" t="str">
        <v>TobyFlenderson@gmail.com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Michael Scott</v>
      </c>
      <c r="K7" t="str">
        <v>MichaelScott@gmail.com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Meredith Palmer</v>
      </c>
      <c r="K8" t="str">
        <v>MeredithPalmer@gmail.com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Stanley Hudson</v>
      </c>
      <c r="K9" t="str">
        <v>StanleyHudson@gmail.com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Kevin Malone</v>
      </c>
      <c r="K10" t="str">
        <v>KevinMalone@gmail.com</v>
      </c>
    </row>
    <row r="11" spans="1:11" x14ac:dyDescent="0.35">
      <c r="H11" t="str">
        <f t="shared" ref="H11:H12" si="0">CONCATENATE(B11," ",C11)</f>
        <v xml:space="preserve"> </v>
      </c>
    </row>
    <row r="12" spans="1:11" x14ac:dyDescent="0.35">
      <c r="H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H29" sqref="H29"/>
    </sheetView>
  </sheetViews>
  <sheetFormatPr defaultRowHeight="14.5" x14ac:dyDescent="0.35"/>
  <cols>
    <col min="8" max="8" width="14.453125" customWidth="1"/>
    <col min="9" max="9" width="13.36328125" customWidth="1"/>
    <col min="10" max="10" width="13.6328125" customWidth="1"/>
    <col min="11" max="11" width="15.453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5056</v>
      </c>
      <c r="K2">
        <f>NETWORKDAYS(H2,I2)</f>
        <v>3611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5851</v>
      </c>
      <c r="K3">
        <f t="shared" ref="K3:K10" si="1">NETWORKDAYS(H3,I3)</f>
        <v>4180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  <c r="K4">
        <f t="shared" si="1"/>
        <v>4484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  <c r="K5">
        <f t="shared" si="1"/>
        <v>4152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  <c r="K6">
        <f t="shared" si="1"/>
        <v>4258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  <c r="K7">
        <f t="shared" si="1"/>
        <v>3223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  <c r="K8">
        <f t="shared" si="1"/>
        <v>2568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  <c r="K9">
        <f t="shared" si="1"/>
        <v>3358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Sahid Hasan</cp:lastModifiedBy>
  <dcterms:created xsi:type="dcterms:W3CDTF">2021-12-16T14:18:34Z</dcterms:created>
  <dcterms:modified xsi:type="dcterms:W3CDTF">2026-08-17T11:06:44Z</dcterms:modified>
</cp:coreProperties>
</file>