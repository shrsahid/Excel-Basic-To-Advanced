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evious\programming\DA\Excel\"/>
    </mc:Choice>
  </mc:AlternateContent>
  <xr:revisionPtr revIDLastSave="0" documentId="8_{2710DD79-32A6-47C9-902A-0857C1FEBFB6}" xr6:coauthVersionLast="47" xr6:coauthVersionMax="47" xr10:uidLastSave="{00000000-0000-0000-0000-000000000000}"/>
  <bookViews>
    <workbookView xWindow="28680" yWindow="-120" windowWidth="29040" windowHeight="15720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8" i="7"/>
  <c r="B9" i="7"/>
  <c r="B7" i="7"/>
  <c r="B3" i="7"/>
  <c r="B4" i="7"/>
  <c r="B2" i="7"/>
  <c r="B3" i="4"/>
  <c r="B4" i="4"/>
  <c r="B2" i="4"/>
  <c r="B5" i="9"/>
  <c r="B4" i="9"/>
  <c r="B3" i="9"/>
  <c r="B6" i="8"/>
  <c r="B5" i="8"/>
  <c r="B4" i="8"/>
  <c r="B3" i="8"/>
  <c r="B4" i="6" a="1"/>
  <c r="B4" i="6" s="1"/>
  <c r="B5" i="6" a="1"/>
  <c r="B5" i="6" s="1"/>
  <c r="B6" i="6" a="1"/>
  <c r="B6" i="6" s="1"/>
  <c r="B3" i="6" a="1"/>
  <c r="B3" i="6" s="1"/>
  <c r="B4" i="1"/>
  <c r="B5" i="1"/>
  <c r="B6" i="1"/>
  <c r="B3" i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<sst xmlns="http://schemas.openxmlformats.org/spreadsheetml/2006/main" count="492" uniqueCount="97">
  <si>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</si>
  <si>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</si>
  <si>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</si>
  <si>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</si>
  <si>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</si>
  <si>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</si>
  <si>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</si>
  <si>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</si>
  <si>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</si>
  <si>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</si>
  <si>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</si>
  <si>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</si>
  <si>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</si>
  <si>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</si>
  <si>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</si>
  <si>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</si>
  <si>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</si>
  <si>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</si>
  <si>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</si>
  <si>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</si>
  <si>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</si>
  <si>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</si>
  <si>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</si>
  <si>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</si>
  <si>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</si>
  <si>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</si>
  <si>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</si>
  <si>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</si>
  <si>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</si>
  <si>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</si>
  <si>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</si>
  <si>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</si>
  <si>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</si>
  <si>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</si>
  <si>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</si>
  <si>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</si>
  <si>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</si>
  <si>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</si>
  <si>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</si>
  <si>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</si>
  <si>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</si>
  <si>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</si>
  <si>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</si>
  <si>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</si>
  <si>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</si>
  <si>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</si>
  <si>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</si>
  <si>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</si>
  <si>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</si>
  <si>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</si>
  <si>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</si>
  <si>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</si>
  <si>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</si>
  <si>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</si>
  <si>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</si>
  <si>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</si>
  <si>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</si>
  <si>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</si>
  <si>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</si>
  <si>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</si>
  <si>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</si>
  <si>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</si>
  <si>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</si>
  <si>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</si>
  <si>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</si>
  <si>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</si>
  <si>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</si>
  <si>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</si>
  <si>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</si>
  <si>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</si>
  <si>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</si>
  <si>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</si>
  <si>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</si>
  <si>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</si>
  <si>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</si>
  <si>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</si>
  <si>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</si>
  <si>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</si>
  <si>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</si>
  <si>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</si>
  <si>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</si>
  <si>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</si>
  <si>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</si>
  <si>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</si>
  <si>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</si>
  <si>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</si>
  <si>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</si>
  <si>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</si>
  <si>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</si>
  <si>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</si>
  <si>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</si>
  <si>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</si>
  <si>
    <t xml:space="preserve">using last name </t>
  </si>
  <si>
    <t>using first name</t>
  </si>
  <si>
    <t xml:space="preserve"> last to first </t>
  </si>
  <si>
    <t>first to last</t>
  </si>
  <si>
    <t xml:space="preserve">exact or next larger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</si>
</sst>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tabSelected="1" workbookViewId="0">
      <selection activeCell="B15" sqref="B15"/>
    </sheetView>
  </sheetViews>
  <sheetFormatPr defaultRowHeight="14.5" x14ac:dyDescent="0.35"/>
  <cols>
    <col min="1" max="1" width="15.26953125" customWidth="1"/>
    <col min="2" max="2" width="24.54296875" customWidth="1"/>
    <col min="8" max="8" width="14.6328125" bestFit="1" customWidth="1"/>
    <col min="12" max="12" width="15.81640625" bestFit="1" customWidth="1"/>
    <col min="16" max="16" width="40.6328125" bestFit="1" customWidth="1"/>
  </cols>
  <sheetData>
    <row r="1" spans="1:16" x14ac:dyDescent="0.3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5">
      <c r="A3" t="s">
        <v>65</v>
      </c>
      <c r="B3" t="str">
        <f>_xlfn.XLOOKUP(A3,H2:H10,P2:P10)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5">
      <c r="A4" t="s">
        <v>62</v>
      </c>
      <c r="B4" t="str">
        <f>_xlfn.XLOOKUP(A4,H3:H11,P3:P11)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5">
      <c r="A5" t="s">
        <v>67</v>
      </c>
      <c r="B5" t="str">
        <f>_xlfn.XLOOKUP(A5,H4:H12,P4:P12)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5">
      <c r="A6" t="s">
        <v>69</v>
      </c>
      <c r="B6" t="str">
        <f>_xlfn.XLOOKUP(A6,H5:H13,P5:P13)</f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5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5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5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5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35">
      <c r="H22" t="str">
        <f>CONCATENATE(F12," ",G12)</f>
        <v xml:space="preserve"> </v>
      </c>
    </row>
    <row r="23" spans="8:8" x14ac:dyDescent="0.35">
      <c r="H23" t="str">
        <f>CONCATENATE(F13," ",G13)</f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L15" sqref="L15"/>
    </sheetView>
  </sheetViews>
  <sheetFormatPr defaultRowHeight="14.5" x14ac:dyDescent="0.35"/>
  <cols>
    <col min="1" max="1" width="14.6328125" bestFit="1" customWidth="1"/>
    <col min="2" max="2" width="24" customWidth="1"/>
    <col min="3" max="3" width="33.7265625" customWidth="1"/>
    <col min="9" max="9" width="14.6328125" bestFit="1" customWidth="1"/>
    <col min="12" max="12" width="15.81640625" bestFit="1" customWidth="1"/>
    <col min="16" max="16" width="40.6328125" bestFit="1" customWidth="1"/>
  </cols>
  <sheetData>
    <row r="1" spans="1:16" x14ac:dyDescent="0.3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5">
      <c r="A3" t="s">
        <v>65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5">
      <c r="A4" t="s">
        <v>62</v>
      </c>
      <c r="B4" t="str" cm="1">
        <f t="array" ref="B4:C4">_xlfn.XLOOKUP(A4,I3:I11,O3:P11)</f>
        <v>10/10/2015</v>
      </c>
      <c r="C4" t="str">
        <v>Pam.Beasley@DunderMifflin.com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5">
      <c r="A5" t="s">
        <v>67</v>
      </c>
      <c r="B5" t="str" cm="1">
        <f t="array" ref="B5:C5">_xlfn.XLOOKUP(A5,I4:I12,O4:P12)</f>
        <v>9/11/2013</v>
      </c>
      <c r="C5" t="str">
        <v>Meredith.Palmer@Yahoo.com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5">
      <c r="A6" t="s">
        <v>69</v>
      </c>
      <c r="B6" t="str" cm="1">
        <f t="array" ref="B6:C6">_xlfn.XLOOKUP(A6,I5:I13,O5:P13)</f>
        <v>4/22/2015</v>
      </c>
      <c r="C6" t="str">
        <v>Kevin.Malone@DunderMifflin.com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5">
      <c r="I22" t="str">
        <f>CONCATENATE(G12," ",H12)</f>
        <v xml:space="preserve"> </v>
      </c>
    </row>
    <row r="23" spans="9:9" x14ac:dyDescent="0.35">
      <c r="I23" t="str">
        <f>CONCATENATE(G13," ",H13)</f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C9" sqref="C9"/>
    </sheetView>
  </sheetViews>
  <sheetFormatPr defaultRowHeight="14.5" x14ac:dyDescent="0.35"/>
  <cols>
    <col min="1" max="1" width="14.6328125" bestFit="1" customWidth="1"/>
    <col min="2" max="2" width="32.81640625" customWidth="1"/>
    <col min="3" max="3" width="15.7265625" customWidth="1"/>
    <col min="8" max="8" width="14.6328125" bestFit="1" customWidth="1"/>
    <col min="11" max="11" width="15.81640625" bestFit="1" customWidth="1"/>
    <col min="15" max="15" width="40.6328125" bestFit="1" customWidth="1"/>
  </cols>
  <sheetData>
    <row r="1" spans="1:15" x14ac:dyDescent="0.3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3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35">
      <c r="A3" t="s">
        <v>86</v>
      </c>
      <c r="B3" t="str">
        <f>_xlfn.XLOOKUP(A3,H2:H10,O2:O10,"Not Found")</f>
        <v>Not Found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35">
      <c r="A4" t="s">
        <v>18</v>
      </c>
      <c r="B4" t="str">
        <f>_xlfn.XLOOKUP("*"&amp;A4,H2:H10,O2:O10,"Not Found",2)</f>
        <v>Pam.Beasley@DunderMifflin.com</v>
      </c>
      <c r="C4" t="s">
        <v>92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35">
      <c r="A5" t="s">
        <v>46</v>
      </c>
      <c r="B5" t="str">
        <f>_xlfn.XLOOKUP(A5&amp;"*",H2:H10,O2:O10,"Not Found",2)</f>
        <v>Meredith.Palmer@Yahoo.com</v>
      </c>
      <c r="C5" t="s">
        <v>93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35">
      <c r="A6" t="s">
        <v>87</v>
      </c>
      <c r="B6" t="str">
        <f>_xlfn.XLOOKUP(A6&amp;"*",H3:H11,O3:O11,"Not Found",2)</f>
        <v>Kevin.Malone@DunderMifflin.com</v>
      </c>
      <c r="C6" t="s">
        <v>93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3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3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3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3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35">
      <c r="H22" t="str">
        <f>CONCATENATE(F12," ",G12)</f>
        <v xml:space="preserve"> </v>
      </c>
    </row>
    <row r="23" spans="8:8" x14ac:dyDescent="0.35">
      <c r="H23" t="str">
        <f>CONCATENATE(F13," ",G13)</f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C17" sqref="C17"/>
    </sheetView>
  </sheetViews>
  <sheetFormatPr defaultRowHeight="14.5" x14ac:dyDescent="0.35"/>
  <cols>
    <col min="1" max="1" width="14.6328125" bestFit="1" customWidth="1"/>
    <col min="2" max="2" width="18" customWidth="1"/>
    <col min="3" max="3" width="24.54296875" customWidth="1"/>
    <col min="9" max="9" width="14.6328125" bestFit="1" customWidth="1"/>
    <col min="12" max="12" width="15.81640625" bestFit="1" customWidth="1"/>
    <col min="16" max="16" width="40.6328125" bestFit="1" customWidth="1"/>
  </cols>
  <sheetData>
    <row r="1" spans="1:16" x14ac:dyDescent="0.3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5">
      <c r="A3" s="1" t="s">
        <v>90</v>
      </c>
      <c r="B3" t="str">
        <f>_xlfn.XLOOKUP(A3,N2:N10,I2:I10,,1)</f>
        <v>Angela Martin</v>
      </c>
      <c r="C3" t="s">
        <v>96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5">
      <c r="A4" s="1" t="s">
        <v>38</v>
      </c>
      <c r="B4" t="str">
        <f>_xlfn.XLOOKUP(A4,N2:N10,I2:I10,,,-1)</f>
        <v>Michael Scott</v>
      </c>
      <c r="C4" t="s">
        <v>94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5">
      <c r="B5" t="str">
        <f>_xlfn.XLOOKUP(A4,N2:N10,I2:I10,,,1)</f>
        <v>Toby Flenderson</v>
      </c>
      <c r="C5" t="s">
        <v>95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5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5">
      <c r="I22" t="str">
        <f>CONCATENATE(G12," ",H12)</f>
        <v xml:space="preserve"> </v>
      </c>
    </row>
    <row r="23" spans="9:9" x14ac:dyDescent="0.35">
      <c r="I23" t="str">
        <f>CONCATENATE(G13," ",H13)</f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B2" sqref="B2"/>
    </sheetView>
  </sheetViews>
  <sheetFormatPr defaultColWidth="10.08984375" defaultRowHeight="14.5" x14ac:dyDescent="0.35"/>
  <cols>
    <col min="1" max="1" width="12.54296875" customWidth="1"/>
    <col min="2" max="2" width="15.1796875" customWidth="1"/>
    <col min="7" max="7" width="12.08984375" bestFit="1" customWidth="1"/>
  </cols>
  <sheetData>
    <row r="1" spans="1:19" x14ac:dyDescent="0.3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5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5">
      <c r="A3" t="s">
        <v>71</v>
      </c>
      <c r="B3">
        <f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5">
      <c r="A4" t="s">
        <v>84</v>
      </c>
      <c r="B4">
        <f t="shared" ref="B4" si="0">_xlfn.XLOOKUP(I3,H3:S3,H4:S4)</f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9"/>
  <sheetViews>
    <sheetView workbookViewId="0">
      <selection activeCell="B9" sqref="B9"/>
    </sheetView>
  </sheetViews>
  <sheetFormatPr defaultColWidth="10.08984375" defaultRowHeight="14.5" x14ac:dyDescent="0.35"/>
  <cols>
    <col min="2" max="2" width="31.08984375" customWidth="1"/>
    <col min="7" max="7" width="12.08984375" bestFit="1" customWidth="1"/>
  </cols>
  <sheetData>
    <row r="1" spans="1:19" x14ac:dyDescent="0.3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5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5">
      <c r="A3" t="s">
        <v>71</v>
      </c>
      <c r="B3">
        <f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5">
      <c r="A4" t="s">
        <v>84</v>
      </c>
      <c r="B4">
        <f>_xlfn.XLOOKUP(I3,H3:S3,H4:S4)</f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35">
      <c r="B6" t="s">
        <v>85</v>
      </c>
    </row>
    <row r="7" spans="1:19" x14ac:dyDescent="0.35">
      <c r="A7" t="s">
        <v>70</v>
      </c>
      <c r="B7">
        <f>SUM(_xlfn.XLOOKUP(I1,H1:S1,H2:S2):_xlfn.XLOOKUP(J1,H1:S1,H2:S2))</f>
        <v>460</v>
      </c>
    </row>
    <row r="8" spans="1:19" x14ac:dyDescent="0.35">
      <c r="A8" t="s">
        <v>71</v>
      </c>
      <c r="B8">
        <f>SUM(_xlfn.XLOOKUP(I2,H2:S2,H3:S3):_xlfn.XLOOKUP(J2,H2:S2,H3:S3))</f>
        <v>105</v>
      </c>
    </row>
    <row r="9" spans="1:19" x14ac:dyDescent="0.35">
      <c r="A9" t="s">
        <v>84</v>
      </c>
      <c r="B9">
        <f>SUM(_xlfn.XLOOKUP(I3,H3:S3,H4:S4):_xlfn.XLOOKUP(J3,H3:S3,H4:S4))</f>
        <v>263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workbookViewId="0">
      <selection activeCell="B17" sqref="B17"/>
    </sheetView>
  </sheetViews>
  <sheetFormatPr defaultRowHeight="14.5" x14ac:dyDescent="0.35"/>
  <cols>
    <col min="1" max="1" width="14.453125" customWidth="1"/>
    <col min="2" max="2" width="28.26953125" customWidth="1"/>
  </cols>
  <sheetData>
    <row r="1" spans="1:16" x14ac:dyDescent="0.3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5">
      <c r="A3" t="s">
        <v>63</v>
      </c>
      <c r="B3" t="str">
        <f>VLOOKUP(A3,H2:P10,9,FALSE)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5">
      <c r="A4" t="s">
        <v>66</v>
      </c>
      <c r="B4" t="str">
        <f t="shared" ref="B4:B5" si="0">VLOOKUP(A4,H3:P11,8,FALSE)</f>
        <v>9/11/2013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5">
      <c r="A5" t="s">
        <v>68</v>
      </c>
      <c r="B5" t="str">
        <f t="shared" si="0"/>
        <v>4/22/2015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5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Sahid Hasan</cp:lastModifiedBy>
  <dcterms:created xsi:type="dcterms:W3CDTF">2021-12-20T02:45:32Z</dcterms:created>
  <dcterms:modified xsi:type="dcterms:W3CDTF">2026-08-18T13:34:48Z</dcterms:modified>
</cp:coreProperties>
</file>